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Input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Span, L</t>
        </is>
      </c>
      <c r="B2" t="n">
        <v>6</v>
      </c>
      <c r="C2" t="inlineStr">
        <is>
          <t>m</t>
        </is>
      </c>
    </row>
    <row r="3">
      <c r="A3" t="inlineStr">
        <is>
          <t>Uniform load, w</t>
        </is>
      </c>
      <c r="B3" t="n">
        <v>10</v>
      </c>
      <c r="C3" t="inlineStr">
        <is>
          <t>kN/m</t>
        </is>
      </c>
    </row>
    <row r="4">
      <c r="A4" t="inlineStr">
        <is>
          <t>Section modulus, S</t>
        </is>
      </c>
      <c r="B4" t="n">
        <v>597</v>
      </c>
      <c r="C4" t="inlineStr">
        <is>
          <t>cm3</t>
        </is>
      </c>
    </row>
    <row r="5">
      <c r="A5" t="inlineStr">
        <is>
          <t>Second moment of area, I</t>
        </is>
      </c>
      <c r="B5" t="n">
        <v>8503</v>
      </c>
      <c r="C5" t="inlineStr">
        <is>
          <t>cm4</t>
        </is>
      </c>
    </row>
    <row r="6">
      <c r="A6" t="inlineStr">
        <is>
          <t>Young's modulus, E</t>
        </is>
      </c>
      <c r="B6" t="n">
        <v>200</v>
      </c>
      <c r="C6" t="inlineStr">
        <is>
          <t>GPa</t>
        </is>
      </c>
    </row>
    <row r="7">
      <c r="A7" t="inlineStr">
        <is>
          <t>Yield strength, fy</t>
        </is>
      </c>
      <c r="B7" t="n">
        <v>275</v>
      </c>
      <c r="C7" t="inlineStr">
        <is>
          <t>MPa</t>
        </is>
      </c>
    </row>
    <row r="8">
      <c r="A8" t="inlineStr">
        <is>
          <t>Deflection limit ratio, n (limit = L/n)</t>
        </is>
      </c>
      <c r="B8" t="n">
        <v>360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Max bending moment, M</t>
        </is>
      </c>
      <c r="B2">
        <f>Inputs!B3*Inputs!B2^2/8</f>
        <v/>
      </c>
      <c r="C2" t="inlineStr">
        <is>
          <t>kN·m</t>
        </is>
      </c>
      <c r="E2" t="n">
        <v>100000</v>
      </c>
    </row>
    <row r="3">
      <c r="A3" t="inlineStr">
        <is>
          <t>Bending stress, sigma</t>
        </is>
      </c>
      <c r="B3">
        <f>B2*1000/Inputs!B4</f>
        <v/>
      </c>
      <c r="C3" t="inlineStr">
        <is>
          <t>MPa</t>
        </is>
      </c>
    </row>
    <row r="4">
      <c r="A4" t="inlineStr">
        <is>
          <t>Utilisation, sigma/fy</t>
        </is>
      </c>
      <c r="B4">
        <f>B3/Inputs!B7</f>
        <v/>
      </c>
      <c r="C4" t="inlineStr">
        <is>
          <t>-</t>
        </is>
      </c>
    </row>
    <row r="5">
      <c r="A5" t="inlineStr">
        <is>
          <t>Stress check</t>
        </is>
      </c>
      <c r="B5">
        <f>IF(B4&lt;=1,"PASS","FAIL")</f>
        <v/>
      </c>
      <c r="C5" t="inlineStr">
        <is>
          <t>-</t>
        </is>
      </c>
    </row>
    <row r="6">
      <c r="A6" t="inlineStr">
        <is>
          <t>Midspan deflection, delta</t>
        </is>
      </c>
      <c r="B6">
        <f>5*Inputs!B3*Inputs!B2^4/(384*Inputs!B6*Inputs!B5)*E2</f>
        <v/>
      </c>
      <c r="C6" t="inlineStr">
        <is>
          <t>mm</t>
        </is>
      </c>
    </row>
    <row r="7">
      <c r="A7" t="inlineStr">
        <is>
          <t>Deflection limit, L/n</t>
        </is>
      </c>
      <c r="B7">
        <f>Inputs!B2*1000/Inputs!B8</f>
        <v/>
      </c>
      <c r="C7" t="inlineStr">
        <is>
          <t>mm</t>
        </is>
      </c>
    </row>
    <row r="8">
      <c r="A8" t="inlineStr">
        <is>
          <t>Deflection check</t>
        </is>
      </c>
      <c r="B8">
        <f>IF(B6&lt;=B7,"PASS","FAIL")</f>
        <v/>
      </c>
      <c r="C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2026-08-02T14:55:02Z</dcterms:created>
  <dcterms:modified xsi:type="dcterms:W3CDTF">2026-08-02T14:55:02Z</dcterms:modified>
</cp:coreProperties>
</file>